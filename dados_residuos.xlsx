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hilipe.santos\Documents\extençao 2\controle_residuos\"/>
    </mc:Choice>
  </mc:AlternateContent>
  <xr:revisionPtr revIDLastSave="0" documentId="13_ncr:1_{44B97A04-F470-400E-A0CE-84CB1980AD3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síduos" sheetId="1" r:id="rId1"/>
  </sheets>
  <definedNames>
    <definedName name="SegmentaçãodeDados_LOCALIDADE">#N/A</definedName>
    <definedName name="SegmentaçãodeDados_MÊS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5" i="1"/>
  <c r="I24" i="1"/>
  <c r="I23" i="1"/>
  <c r="I22" i="1"/>
  <c r="I21" i="1"/>
  <c r="I20" i="1"/>
  <c r="B3" i="1" s="1"/>
  <c r="I19" i="1"/>
  <c r="I18" i="1"/>
  <c r="B5" i="1"/>
  <c r="B4" i="1"/>
  <c r="B2" i="1"/>
  <c r="B1" i="1"/>
</calcChain>
</file>

<file path=xl/sharedStrings.xml><?xml version="1.0" encoding="utf-8"?>
<sst xmlns="http://schemas.openxmlformats.org/spreadsheetml/2006/main" count="50" uniqueCount="21">
  <si>
    <t>QTDADE CARRINHO COMUM</t>
  </si>
  <si>
    <t>QTDADE CARRINHO RECICLÁVEIS</t>
  </si>
  <si>
    <t>TOTAL DE CARRINHOS</t>
  </si>
  <si>
    <t>RESÍDUOS COMUNS</t>
  </si>
  <si>
    <t>RESÍDUOS RECICLÁVEIS</t>
  </si>
  <si>
    <t>ANO</t>
  </si>
  <si>
    <t>MÊS</t>
  </si>
  <si>
    <t>DATA</t>
  </si>
  <si>
    <t>LOCALIDADE</t>
  </si>
  <si>
    <t>RESÍDUOS COMUM</t>
  </si>
  <si>
    <t>TOTAL DE CARRINHO</t>
  </si>
  <si>
    <t>2026</t>
  </si>
  <si>
    <t>OUTUBRO</t>
  </si>
  <si>
    <t>13/10/2026</t>
  </si>
  <si>
    <t>ANEXO - B</t>
  </si>
  <si>
    <t>CENTRAL</t>
  </si>
  <si>
    <t>ANEXO - H</t>
  </si>
  <si>
    <t>LABORATÓRIO</t>
  </si>
  <si>
    <t>CASA DA ALERGIA</t>
  </si>
  <si>
    <t>MATERNIDADE</t>
  </si>
  <si>
    <t>CASA NEFRO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</si>
</sst>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"/>
      <color rgb="FFFFFFFF"/>
      <name val="Inter"/>
    </font>
    <font>
      <b/>
      <sz val="9"/>
      <color rgb="FF064E3B"/>
      <name val="Inter"/>
    </font>
  </fonts>
  <fills count="5">
    <fill>
      <patternFill patternType="none"/>
    </fill>
    <fill>
      <patternFill patternType="gray125"/>
    </fill>
    <fill>
      <patternFill patternType="solid">
        <fgColor rgb="FF4C1D95"/>
        <bgColor rgb="FF4C1D95"/>
      </patternFill>
    </fill>
    <fill>
      <patternFill patternType="solid">
        <fgColor rgb="FF6EE7B7"/>
        <bgColor rgb="FF6EE7B7"/>
      </patternFill>
    </fill>
    <fill>
      <patternFill patternType="solid">
        <fgColor rgb="FF2563EB"/>
        <bgColor rgb="FF2563EB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4" fontId="0" fillId="0" borderId="3" xfId="0" applyNumberFormat="1" applyBorder="1" applyAlignment="1">
      <alignment horizontal="right" vertical="center"/>
    </xf>
    <xf numFmtId="4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4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</cellXfs>
  <cellStyles count="1">
    <cellStyle name="Normal" xfId="0" builtinId="0"/>
  </cellStyles>
  <dxfs count="3"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rgb="FFFFFFFF"/>
        <name val="Inter"/>
      </font>
      <fill>
        <patternFill patternType="solid">
          <fgColor rgb="FF2563EB"/>
          <bgColor rgb="FF2563EB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7:I479" totalsRowShown="0" headerRowDxfId="2" headerRowBorderDxfId="1" tableBorderDxfId="0">
  <autoFilter ref="A17:I479" xr:uid="{00000000-0009-0000-0100-000001000000}"/>
  <tableColumns count="9">
    <tableColumn id="1" xr3:uid="{00000000-0010-0000-0000-000001000000}" name="ANO"/>
    <tableColumn id="2" xr3:uid="{00000000-0010-0000-0000-000002000000}" name="MÊS"/>
    <tableColumn id="3" xr3:uid="{00000000-0010-0000-0000-000003000000}" name="DATA"/>
    <tableColumn id="4" xr3:uid="{00000000-0010-0000-0000-000004000000}" name="LOCALIDADE"/>
    <tableColumn id="5" xr3:uid="{00000000-0010-0000-0000-000005000000}" name="QTDADE CARRINHO COMUM"/>
    <tableColumn id="6" xr3:uid="{00000000-0010-0000-0000-000006000000}" name="RESÍDUOS COMUM"/>
    <tableColumn id="7" xr3:uid="{00000000-0010-0000-0000-000007000000}" name="QTDADE CARRINHO RECICLÁVEIS"/>
    <tableColumn id="8" xr3:uid="{00000000-0010-0000-0000-000008000000}" name="RESÍDUOS RECICLÁVEIS"/>
    <tableColumn id="9" xr3:uid="{00000000-0010-0000-0000-000009000000}" name="TOTAL DE CARRINH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F31" sqref="F31"/>
    </sheetView>
  </sheetViews>
  <sheetFormatPr defaultRowHeight="15"/>
  <cols>
    <col min="1" max="1" width="28.42578125" bestFit="1" customWidth="1"/>
    <col min="2" max="2" width="9.7109375" bestFit="1" customWidth="1"/>
    <col min="3" max="3" width="10.7109375" bestFit="1" customWidth="1"/>
    <col min="4" max="4" width="16.7109375" bestFit="1" customWidth="1"/>
    <col min="5" max="5" width="28.5703125" bestFit="1" customWidth="1"/>
    <col min="6" max="6" width="21" bestFit="1" customWidth="1"/>
    <col min="7" max="7" width="33" bestFit="1" customWidth="1"/>
    <col min="8" max="8" width="25.42578125" bestFit="1" customWidth="1"/>
    <col min="9" max="9" width="22.85546875" bestFit="1" customWidth="1"/>
  </cols>
  <sheetData>
    <row r="1" spans="1:2">
      <c r="A1" s="1" t="s">
        <v>0</v>
      </c>
      <c r="B1" s="2">
        <f>SUM(E18:E1000)</f>
        <v>28</v>
      </c>
    </row>
    <row r="2" spans="1:2">
      <c r="A2" s="1" t="s">
        <v>1</v>
      </c>
      <c r="B2" s="2">
        <f>SUM(G18:G1000)</f>
        <v>32</v>
      </c>
    </row>
    <row r="3" spans="1:2">
      <c r="A3" s="1" t="s">
        <v>2</v>
      </c>
      <c r="B3" s="2">
        <f>SUM(I18:I1000)</f>
        <v>60</v>
      </c>
    </row>
    <row r="4" spans="1:2">
      <c r="A4" s="1" t="s">
        <v>3</v>
      </c>
      <c r="B4" s="3">
        <f>SUM(F18:F1000)</f>
        <v>129</v>
      </c>
    </row>
    <row r="5" spans="1:2">
      <c r="A5" s="1" t="s">
        <v>4</v>
      </c>
      <c r="B5" s="3">
        <f>SUM(H18:H1000)</f>
        <v>204.5</v>
      </c>
    </row>
    <row r="17" spans="1:9">
      <c r="A17" s="8" t="s">
        <v>5</v>
      </c>
      <c r="B17" s="8" t="s">
        <v>6</v>
      </c>
      <c r="C17" s="8" t="s">
        <v>7</v>
      </c>
      <c r="D17" s="8" t="s">
        <v>8</v>
      </c>
      <c r="E17" s="8" t="s">
        <v>0</v>
      </c>
      <c r="F17" s="8" t="s">
        <v>9</v>
      </c>
      <c r="G17" s="8" t="s">
        <v>1</v>
      </c>
      <c r="H17" s="8" t="s">
        <v>4</v>
      </c>
      <c r="I17" s="8" t="s">
        <v>10</v>
      </c>
    </row>
    <row r="18" spans="1:9">
      <c r="A18" s="4" t="s">
        <v>11</v>
      </c>
      <c r="B18" s="5" t="s">
        <v>12</v>
      </c>
      <c r="C18" s="5" t="s">
        <v>13</v>
      </c>
      <c r="D18" s="5" t="s">
        <v>14</v>
      </c>
      <c r="E18" s="6">
        <v>2</v>
      </c>
      <c r="F18" s="7">
        <v>3</v>
      </c>
      <c r="G18" s="6">
        <v>3</v>
      </c>
      <c r="H18" s="7">
        <v>2.5</v>
      </c>
      <c r="I18" s="6">
        <f t="shared" ref="I18:I26" si="0">E18+G18</f>
        <v>5</v>
      </c>
    </row>
    <row r="19" spans="1:9">
      <c r="A19" s="9" t="s">
        <v>11</v>
      </c>
      <c r="B19" s="10" t="s">
        <v>12</v>
      </c>
      <c r="C19" s="10" t="s">
        <v>13</v>
      </c>
      <c r="D19" s="10" t="s">
        <v>15</v>
      </c>
      <c r="E19" s="11">
        <v>2</v>
      </c>
      <c r="F19" s="12">
        <v>3</v>
      </c>
      <c r="G19" s="11">
        <v>1</v>
      </c>
      <c r="H19" s="12">
        <v>3</v>
      </c>
      <c r="I19" s="11">
        <f t="shared" si="0"/>
        <v>3</v>
      </c>
    </row>
    <row r="20" spans="1:9">
      <c r="A20" s="13" t="s">
        <v>11</v>
      </c>
      <c r="B20" s="14" t="s">
        <v>12</v>
      </c>
      <c r="C20" s="14" t="s">
        <v>13</v>
      </c>
      <c r="D20" s="14" t="s">
        <v>16</v>
      </c>
      <c r="E20" s="15">
        <v>2</v>
      </c>
      <c r="F20" s="16">
        <v>3</v>
      </c>
      <c r="G20" s="15">
        <v>3</v>
      </c>
      <c r="H20" s="16">
        <v>3</v>
      </c>
      <c r="I20" s="15">
        <f t="shared" si="0"/>
        <v>5</v>
      </c>
    </row>
    <row r="21" spans="1:9">
      <c r="A21" s="13" t="s">
        <v>11</v>
      </c>
      <c r="B21" s="14" t="s">
        <v>12</v>
      </c>
      <c r="C21" s="14" t="s">
        <v>13</v>
      </c>
      <c r="D21" s="14" t="s">
        <v>16</v>
      </c>
      <c r="E21" s="15">
        <v>2</v>
      </c>
      <c r="F21" s="16">
        <v>2</v>
      </c>
      <c r="G21" s="15">
        <v>3</v>
      </c>
      <c r="H21" s="16">
        <v>3</v>
      </c>
      <c r="I21" s="15">
        <f t="shared" si="0"/>
        <v>5</v>
      </c>
    </row>
    <row r="22" spans="1:9">
      <c r="A22" s="13" t="s">
        <v>11</v>
      </c>
      <c r="B22" s="14" t="s">
        <v>12</v>
      </c>
      <c r="C22" s="14" t="s">
        <v>13</v>
      </c>
      <c r="D22" s="14" t="s">
        <v>17</v>
      </c>
      <c r="E22" s="15">
        <v>5</v>
      </c>
      <c r="F22" s="16">
        <v>3</v>
      </c>
      <c r="G22" s="15">
        <v>5</v>
      </c>
      <c r="H22" s="16">
        <v>50</v>
      </c>
      <c r="I22" s="15">
        <f t="shared" si="0"/>
        <v>10</v>
      </c>
    </row>
    <row r="23" spans="1:9">
      <c r="A23" s="13" t="s">
        <v>11</v>
      </c>
      <c r="B23" s="14" t="s">
        <v>12</v>
      </c>
      <c r="C23" s="14" t="s">
        <v>13</v>
      </c>
      <c r="D23" s="14" t="s">
        <v>18</v>
      </c>
      <c r="E23" s="15">
        <v>3</v>
      </c>
      <c r="F23" s="16">
        <v>50</v>
      </c>
      <c r="G23" s="15">
        <v>3</v>
      </c>
      <c r="H23" s="16">
        <v>25</v>
      </c>
      <c r="I23" s="15">
        <f t="shared" si="0"/>
        <v>6</v>
      </c>
    </row>
    <row r="24" spans="1:9">
      <c r="A24" s="13" t="s">
        <v>11</v>
      </c>
      <c r="B24" s="14" t="s">
        <v>12</v>
      </c>
      <c r="C24" s="14" t="s">
        <v>13</v>
      </c>
      <c r="D24" s="14" t="s">
        <v>17</v>
      </c>
      <c r="E24" s="15">
        <v>2</v>
      </c>
      <c r="F24" s="16">
        <v>30</v>
      </c>
      <c r="G24" s="15">
        <v>3</v>
      </c>
      <c r="H24" s="16">
        <v>25</v>
      </c>
      <c r="I24" s="15">
        <f t="shared" si="0"/>
        <v>5</v>
      </c>
    </row>
    <row r="25" spans="1:9">
      <c r="A25" s="13" t="s">
        <v>11</v>
      </c>
      <c r="B25" s="14" t="s">
        <v>12</v>
      </c>
      <c r="C25" s="14" t="s">
        <v>13</v>
      </c>
      <c r="D25" s="14" t="s">
        <v>19</v>
      </c>
      <c r="E25" s="15">
        <v>5</v>
      </c>
      <c r="F25" s="16">
        <v>5</v>
      </c>
      <c r="G25" s="15">
        <v>6</v>
      </c>
      <c r="H25" s="16">
        <v>35</v>
      </c>
      <c r="I25" s="15">
        <f t="shared" si="0"/>
        <v>11</v>
      </c>
    </row>
    <row r="26" spans="1:9">
      <c r="A26" s="13" t="s">
        <v>11</v>
      </c>
      <c r="B26" s="14" t="s">
        <v>12</v>
      </c>
      <c r="C26" s="14" t="s">
        <v>13</v>
      </c>
      <c r="D26" s="14" t="s">
        <v>20</v>
      </c>
      <c r="E26" s="15">
        <v>5</v>
      </c>
      <c r="F26" s="16">
        <v>30</v>
      </c>
      <c r="G26" s="15">
        <v>5</v>
      </c>
      <c r="H26" s="16">
        <v>58</v>
      </c>
      <c r="I26" s="15">
        <f t="shared" si="0"/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Resíduos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QUALITYWARE - Philipe Eduardo Pires Santos</cp:lastModifiedBy>
  <dcterms:created xsi:type="dcterms:W3CDTF">2026-10-13T17:30:51Z</dcterms:created>
  <dcterms:modified xsi:type="dcterms:W3CDTF">2026-10-14T11:13:57Z</dcterms:modified>
</cp:coreProperties>
</file>